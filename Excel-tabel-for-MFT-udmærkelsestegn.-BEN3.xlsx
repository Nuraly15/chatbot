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kaisa-stinagellin/Desktop/"/>
    </mc:Choice>
  </mc:AlternateContent>
  <xr:revisionPtr revIDLastSave="0" documentId="8_{228AD20D-9F84-4647-B4E3-6D90322E513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xcel-tabel for MFT-udmærkel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</calcChain>
</file>

<file path=xl/sharedStrings.xml><?xml version="1.0" encoding="utf-8"?>
<sst xmlns="http://schemas.openxmlformats.org/spreadsheetml/2006/main" count="108" uniqueCount="82">
  <si>
    <t>Operativ</t>
  </si>
  <si>
    <t>TEST A (12 min)</t>
  </si>
  <si>
    <t>TEST A (Biptest)</t>
  </si>
  <si>
    <t>TEST B (DMST)</t>
  </si>
  <si>
    <t>TEST C (Lunges)</t>
  </si>
  <si>
    <t>TEST C (Dips)</t>
  </si>
  <si>
    <t>TEST C (Kropshæv.)</t>
  </si>
  <si>
    <t>TEST C (Dødløft)</t>
  </si>
  <si>
    <t>TEST C (Burpees)</t>
  </si>
  <si>
    <t>Niveau score</t>
  </si>
  <si>
    <t>Karakter</t>
  </si>
  <si>
    <t>Totalscore</t>
  </si>
  <si>
    <t>Niveau</t>
  </si>
  <si>
    <t>Meter (30-100p)</t>
  </si>
  <si>
    <t>Niveau (40-100p)</t>
  </si>
  <si>
    <t>Ture (40-100p)</t>
  </si>
  <si>
    <t>10 Reps pr. ben</t>
  </si>
  <si>
    <t>Reps + kg</t>
  </si>
  <si>
    <t>5 Reps</t>
  </si>
  <si>
    <t>Reps på 5 min</t>
  </si>
  <si>
    <t>Point</t>
  </si>
  <si>
    <t>7-skala</t>
  </si>
  <si>
    <t>-</t>
  </si>
  <si>
    <t>2600 (30p)</t>
  </si>
  <si>
    <t>10.8 (30p)</t>
  </si>
  <si>
    <t>58(30p)</t>
  </si>
  <si>
    <t>35 kg (9p)</t>
  </si>
  <si>
    <t>3 + 0 kg (9p)</t>
  </si>
  <si>
    <t>70 kg (9p)</t>
  </si>
  <si>
    <t>55 (9p)</t>
  </si>
  <si>
    <t>2700 (40p)</t>
  </si>
  <si>
    <t>11.6 (40p)</t>
  </si>
  <si>
    <t>60 (40p)</t>
  </si>
  <si>
    <t>42,5 kg (12p)</t>
  </si>
  <si>
    <t>5 + 0 kg (12p)</t>
  </si>
  <si>
    <t>85 kg (12p)</t>
  </si>
  <si>
    <t>65 (12p)</t>
  </si>
  <si>
    <t>105-140</t>
  </si>
  <si>
    <t>2800 (50p)</t>
  </si>
  <si>
    <t>12.2 (50p)</t>
  </si>
  <si>
    <t>62 (50p)</t>
  </si>
  <si>
    <t>50 kg (15p)</t>
  </si>
  <si>
    <t>5 + 5 kg (15p)</t>
  </si>
  <si>
    <t>100 kg (15p)</t>
  </si>
  <si>
    <t>75 (15p)</t>
  </si>
  <si>
    <t>2900 (60p)</t>
  </si>
  <si>
    <t>12.10 (60p)</t>
  </si>
  <si>
    <t>63 (60p)</t>
  </si>
  <si>
    <t>55 kg (18p)</t>
  </si>
  <si>
    <t>5 + 10 kg (18p)</t>
  </si>
  <si>
    <t>110 kg (18p)</t>
  </si>
  <si>
    <t>80 (18p)</t>
  </si>
  <si>
    <t>3000 (70p)</t>
  </si>
  <si>
    <t>13.4 (70p)</t>
  </si>
  <si>
    <t>64 (70p)</t>
  </si>
  <si>
    <t>60 kg (21p)</t>
  </si>
  <si>
    <t>5 + 15 kg (21p)</t>
  </si>
  <si>
    <t>120 kg (21p)</t>
  </si>
  <si>
    <t>85 (21p)</t>
  </si>
  <si>
    <t>3100 (80p)</t>
  </si>
  <si>
    <t>13.12 (80p)</t>
  </si>
  <si>
    <t>65 (80p)</t>
  </si>
  <si>
    <t>65 kg (24p)</t>
  </si>
  <si>
    <t>5 + 20 kg (24p)</t>
  </si>
  <si>
    <t>130 kg (24p)</t>
  </si>
  <si>
    <t>90 (24p)</t>
  </si>
  <si>
    <t>3200 (90p)</t>
  </si>
  <si>
    <t>14.8 (90p)</t>
  </si>
  <si>
    <t>66 (90p)</t>
  </si>
  <si>
    <t>70 kg (27p)</t>
  </si>
  <si>
    <t>5 + 25 kg (27p)</t>
  </si>
  <si>
    <t>140 kg (27p)</t>
  </si>
  <si>
    <t>95 (27p)</t>
  </si>
  <si>
    <t>3300 (100p)</t>
  </si>
  <si>
    <t>15.4 (100p)</t>
  </si>
  <si>
    <t>67 (100p)</t>
  </si>
  <si>
    <t>75 kg (30p)</t>
  </si>
  <si>
    <t>5 + 30 kg (30p)</t>
  </si>
  <si>
    <t>150 kg (30p)</t>
  </si>
  <si>
    <t>100 (30p)</t>
  </si>
  <si>
    <t xml:space="preserve">Udfyld point her </t>
  </si>
  <si>
    <t xml:space="preserve">Biptest udfyldes e.o.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</si>
</sst>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Excel-tabel for MFT-udmærkels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L17">
  <tableColumns count="12">
    <tableColumn id="1" xr3:uid="{00000000-0010-0000-0000-000001000000}" name="Operativ"/>
    <tableColumn id="2" xr3:uid="{00000000-0010-0000-0000-000002000000}" name="TEST A (12 min)"/>
    <tableColumn id="3" xr3:uid="{00000000-0010-0000-0000-000003000000}" name="TEST A (Biptest)"/>
    <tableColumn id="4" xr3:uid="{00000000-0010-0000-0000-000004000000}" name="TEST B (DMST)"/>
    <tableColumn id="5" xr3:uid="{00000000-0010-0000-0000-000005000000}" name="TEST C (Lunges)"/>
    <tableColumn id="6" xr3:uid="{00000000-0010-0000-0000-000006000000}" name="TEST C (Dips)"/>
    <tableColumn id="7" xr3:uid="{00000000-0010-0000-0000-000007000000}" name="TEST C (Kropshæv.)"/>
    <tableColumn id="8" xr3:uid="{00000000-0010-0000-0000-000008000000}" name="TEST C (Dødløft)"/>
    <tableColumn id="9" xr3:uid="{00000000-0010-0000-0000-000009000000}" name="TEST C (Burpees)"/>
    <tableColumn id="10" xr3:uid="{00000000-0010-0000-0000-00000A000000}" name="Niveau score"/>
    <tableColumn id="11" xr3:uid="{00000000-0010-0000-0000-00000B000000}" name="Karakter"/>
    <tableColumn id="12" xr3:uid="{00000000-0010-0000-0000-00000C000000}" name="Totalscore"/>
  </tableColumns>
  <tableStyleInfo name="Excel-tabel for MFT-udmærkel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12.6640625" defaultRowHeight="15.75" customHeight="1" x14ac:dyDescent="0.15"/>
  <cols>
    <col min="1" max="1" width="19.1640625" customWidth="1"/>
    <col min="2" max="2" width="17.5" customWidth="1"/>
    <col min="3" max="3" width="23.1640625" customWidth="1"/>
    <col min="4" max="4" width="17" customWidth="1"/>
    <col min="5" max="5" width="17.83203125" customWidth="1"/>
    <col min="6" max="6" width="15.6640625" customWidth="1"/>
    <col min="7" max="7" width="20.1640625" customWidth="1"/>
    <col min="8" max="8" width="18" customWidth="1"/>
    <col min="9" max="9" width="18.6640625" customWidth="1"/>
    <col min="10" max="10" width="18.33203125" customWidth="1"/>
    <col min="11" max="11" width="18.1640625" customWidth="1"/>
  </cols>
  <sheetData>
    <row r="1" spans="1:2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ht="22.5" customHeight="1" x14ac:dyDescent="0.1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26" ht="22.5" customHeight="1" x14ac:dyDescent="0.15">
      <c r="A3" s="2">
        <v>1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>
        <v>-3</v>
      </c>
    </row>
    <row r="4" spans="1:26" ht="22.5" customHeight="1" x14ac:dyDescent="0.15">
      <c r="A4" s="2">
        <v>2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0</v>
      </c>
    </row>
    <row r="5" spans="1:26" ht="22.5" customHeight="1" x14ac:dyDescent="0.15">
      <c r="A5" s="2">
        <v>3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27</v>
      </c>
      <c r="H5" s="2" t="s">
        <v>28</v>
      </c>
      <c r="I5" s="2" t="s">
        <v>29</v>
      </c>
      <c r="J5" s="2">
        <v>85</v>
      </c>
      <c r="K5" s="2">
        <v>2</v>
      </c>
    </row>
    <row r="6" spans="1:26" ht="22.5" customHeight="1" x14ac:dyDescent="0.15">
      <c r="A6" s="2">
        <v>4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34</v>
      </c>
      <c r="H6" s="2" t="s">
        <v>35</v>
      </c>
      <c r="I6" s="2" t="s">
        <v>36</v>
      </c>
      <c r="J6" s="2" t="s">
        <v>37</v>
      </c>
      <c r="K6" s="2">
        <v>4</v>
      </c>
    </row>
    <row r="7" spans="1:26" ht="22.5" customHeight="1" x14ac:dyDescent="0.15">
      <c r="A7" s="2">
        <v>5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42</v>
      </c>
      <c r="H7" s="2" t="s">
        <v>43</v>
      </c>
      <c r="I7" s="2" t="s">
        <v>44</v>
      </c>
      <c r="J7" s="2">
        <v>175</v>
      </c>
      <c r="K7" s="2">
        <v>7</v>
      </c>
    </row>
    <row r="8" spans="1:26" ht="22.5" customHeight="1" x14ac:dyDescent="0.15">
      <c r="A8" s="2">
        <v>6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49</v>
      </c>
      <c r="H8" s="2" t="s">
        <v>50</v>
      </c>
      <c r="I8" s="2" t="s">
        <v>51</v>
      </c>
      <c r="J8" s="2">
        <v>210</v>
      </c>
      <c r="K8" s="2">
        <v>7</v>
      </c>
    </row>
    <row r="9" spans="1:26" ht="22.5" customHeight="1" x14ac:dyDescent="0.15">
      <c r="A9" s="2">
        <v>7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56</v>
      </c>
      <c r="H9" s="2" t="s">
        <v>57</v>
      </c>
      <c r="I9" s="2" t="s">
        <v>58</v>
      </c>
      <c r="J9" s="2">
        <v>245</v>
      </c>
      <c r="K9" s="2">
        <v>10</v>
      </c>
    </row>
    <row r="10" spans="1:26" ht="22.5" customHeight="1" x14ac:dyDescent="0.15">
      <c r="A10" s="2">
        <v>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63</v>
      </c>
      <c r="H10" s="2" t="s">
        <v>64</v>
      </c>
      <c r="I10" s="2" t="s">
        <v>65</v>
      </c>
      <c r="J10" s="2">
        <v>280</v>
      </c>
      <c r="K10" s="2">
        <v>12</v>
      </c>
    </row>
    <row r="11" spans="1:26" ht="22.5" customHeight="1" x14ac:dyDescent="0.15">
      <c r="A11" s="2">
        <v>9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70</v>
      </c>
      <c r="H11" s="2" t="s">
        <v>71</v>
      </c>
      <c r="I11" s="2" t="s">
        <v>72</v>
      </c>
      <c r="J11" s="2">
        <v>315</v>
      </c>
      <c r="K11" s="2">
        <v>12</v>
      </c>
    </row>
    <row r="12" spans="1:26" ht="22.5" customHeight="1" x14ac:dyDescent="0.15">
      <c r="A12" s="2">
        <v>10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77</v>
      </c>
      <c r="H12" s="2" t="s">
        <v>78</v>
      </c>
      <c r="I12" s="2" t="s">
        <v>79</v>
      </c>
      <c r="J12" s="2">
        <v>350</v>
      </c>
      <c r="K12" s="2">
        <v>12</v>
      </c>
    </row>
    <row r="13" spans="1:26" ht="22.5" customHeight="1" x14ac:dyDescent="0.15">
      <c r="A13" s="3" t="s">
        <v>80</v>
      </c>
      <c r="B13" s="4">
        <v>70</v>
      </c>
      <c r="C13" s="4"/>
      <c r="D13" s="4">
        <v>40</v>
      </c>
      <c r="E13" s="4">
        <v>21</v>
      </c>
      <c r="F13" s="4">
        <v>18</v>
      </c>
      <c r="G13" s="4">
        <v>12</v>
      </c>
      <c r="H13" s="4">
        <v>12</v>
      </c>
      <c r="I13" s="4">
        <v>21</v>
      </c>
      <c r="J13" s="5">
        <f>SUM(B13:I13)</f>
        <v>194</v>
      </c>
      <c r="K13" s="3"/>
      <c r="L13" s="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 x14ac:dyDescent="0.15">
      <c r="A14" s="2"/>
      <c r="B14" s="7"/>
      <c r="C14" s="7" t="s">
        <v>81</v>
      </c>
      <c r="D14" s="7"/>
      <c r="E14" s="7"/>
      <c r="F14" s="7"/>
      <c r="G14" s="7"/>
      <c r="H14" s="7"/>
      <c r="I14" s="7"/>
      <c r="J14" s="7"/>
      <c r="K14" s="2"/>
      <c r="L14" s="2"/>
    </row>
    <row r="15" spans="1:26" ht="22.5" customHeight="1" x14ac:dyDescent="0.15">
      <c r="A15" s="2"/>
      <c r="B15" s="7"/>
      <c r="C15" s="7"/>
      <c r="D15" s="7"/>
      <c r="E15" s="7"/>
      <c r="F15" s="7"/>
      <c r="G15" s="7"/>
      <c r="H15" s="7"/>
      <c r="I15" s="7"/>
      <c r="J15" s="7"/>
      <c r="K15" s="2"/>
      <c r="L15" s="2"/>
    </row>
    <row r="16" spans="1:26" ht="22.5" customHeight="1" x14ac:dyDescent="0.15">
      <c r="A16" s="2"/>
      <c r="B16" s="7"/>
      <c r="C16" s="8"/>
      <c r="D16" s="8"/>
      <c r="E16" s="8"/>
      <c r="F16" s="8"/>
      <c r="G16" s="8"/>
      <c r="H16" s="8"/>
      <c r="I16" s="8"/>
      <c r="J16" s="9"/>
      <c r="K16" s="2"/>
      <c r="L16" s="2"/>
    </row>
    <row r="17" spans="1:12" ht="22.5" customHeight="1" x14ac:dyDescent="0.15">
      <c r="A17" s="2"/>
      <c r="J17" s="2"/>
      <c r="K17" s="2"/>
      <c r="L17" s="2"/>
    </row>
  </sheetData>
  <dataValidations count="1">
    <dataValidation type="custom" allowBlank="1" showDropDown="1" sqref="A2:A17 J2:K17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Excel-tabel for MFT-udmærkelses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Kaisa-Stina Molly Wagner Laut Gellin</cp:lastModifiedBy>
  <dcterms:created xsi:type="dcterms:W3CDTF">2026-06-04T10:19:08Z</dcterms:created>
  <dcterms:modified xsi:type="dcterms:W3CDTF">2026-06-22T14:08:28Z</dcterms:modified>
</cp:coreProperties>
</file>